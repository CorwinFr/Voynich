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ferentiels" sheetId="2" state="visible" r:id="rId2"/>
    <sheet xmlns:r="http://schemas.openxmlformats.org/officeDocument/2006/relationships" name="Pipeline Sources" sheetId="3" state="visible" r:id="rId3"/>
    <sheet xmlns:r="http://schemas.openxmlformats.org/officeDocument/2006/relationships" name="Plan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06100"/>
      <sz val="12"/>
    </font>
    <font>
      <name val="Arial"/>
      <b val="1"/>
      <color rgb="001F4E79"/>
      <sz val="12"/>
    </font>
    <font>
      <name val="Arial"/>
      <b val="1"/>
      <color rgb="00806000"/>
      <sz val="12"/>
    </font>
    <font>
      <name val="Arial"/>
      <sz val="10"/>
    </font>
    <font>
      <name val="Arial"/>
      <b val="1"/>
    </font>
    <font>
      <name val="Arial"/>
      <i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6" borderId="2" pivotButton="0" quotePrefix="0" xfId="0"/>
    <xf numFmtId="0" fontId="0" fillId="6" borderId="2" pivotButton="0" quotePrefix="0" xfId="0"/>
    <xf numFmtId="164" fontId="0" fillId="6" borderId="2" applyAlignment="1" pivotButton="0" quotePrefix="0" xfId="0">
      <alignment horizontal="center"/>
    </xf>
    <xf numFmtId="3" fontId="0" fillId="6" borderId="2" applyAlignment="1" pivotButton="0" quotePrefix="0" xfId="0">
      <alignment horizontal="center"/>
    </xf>
    <xf numFmtId="165" fontId="0" fillId="6" borderId="2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8" fillId="0" borderId="1" pivotButton="0" quotePrefix="0" xfId="0"/>
    <xf numFmtId="3" fontId="8" fillId="0" borderId="1" applyAlignment="1" pivotButton="0" quotePrefix="0" xfId="0">
      <alignment horizontal="center"/>
    </xf>
    <xf numFmtId="0" fontId="9" fillId="0" borderId="0" pivotButton="0" quotePrefix="0" xfId="0"/>
    <xf numFmtId="3" fontId="0" fillId="0" borderId="0" pivotButton="0" quotePrefix="0" xfId="0"/>
    <xf numFmtId="0" fontId="3" fillId="8" borderId="0" applyAlignment="1" pivotButton="0" quotePrefix="0" xfId="0">
      <alignment horizontal="center"/>
    </xf>
    <xf numFmtId="0" fontId="8" fillId="9" borderId="1" pivotButton="0" quotePrefix="0" xfId="0"/>
    <xf numFmtId="164" fontId="8" fillId="0" borderId="1" applyAlignment="1" pivotButton="0" quotePrefix="0" xfId="0">
      <alignment horizontal="center"/>
    </xf>
    <xf numFmtId="0" fontId="8" fillId="3" borderId="1" pivotButton="0" quotePrefix="0" xfId="0"/>
    <xf numFmtId="0" fontId="8" fillId="10" borderId="1" pivotButton="0" quotePrefix="0" xfId="0"/>
    <xf numFmtId="0" fontId="8" fillId="5" borderId="1" pivotButton="0" quotePrefix="0" xfId="0"/>
    <xf numFmtId="0" fontId="10" fillId="0" borderId="0" pivotButton="0" quotePrefix="0" xfId="0"/>
    <xf numFmtId="0" fontId="3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Global par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'Dashboard'!$A$5:$A$15</f>
            </numRef>
          </cat>
          <val>
            <numRef>
              <f>'Dashboard'!$C$5:$C$15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GRAM % vs Ref % par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'Dashboard'!$A$5:$A$15</f>
            </numRef>
          </cat>
          <val>
            <numRef>
              <f>'Dashboard'!$F$5:$F$15</f>
            </numRef>
          </val>
        </ser>
        <ser>
          <idx val="1"/>
          <order val="1"/>
          <tx>
            <strRef>
              <f>'Dashboard'!G4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'Dashboard'!$A$5:$A$15</f>
            </numRef>
          </cat>
          <val>
            <numRef>
              <f>'Dashboard'!$G$5:$G$15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Pourcentage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10" customWidth="1" min="8" max="8"/>
    <col width="8" customWidth="1" min="9" max="9"/>
    <col width="7" customWidth="1" min="10" max="10"/>
  </cols>
  <sheetData>
    <row r="1">
      <c r="A1" s="1" t="inlineStr">
        <is>
          <t>RECIPE_DATASET - Quality Scoring Dashboard</t>
        </is>
      </c>
    </row>
    <row r="2">
      <c r="A2" s="2" t="inlineStr">
        <is>
          <t>Date: 2026-04-11 | Referentiels: 8 (846 entries) | Sources: 11/13 | Total: 439,964 tokens</t>
        </is>
      </c>
    </row>
    <row r="4">
      <c r="A4" s="3" t="inlineStr">
        <is>
          <t>Source</t>
        </is>
      </c>
      <c r="B4" s="3" t="inlineStr">
        <is>
          <t>Grade</t>
        </is>
      </c>
      <c r="C4" s="3" t="inlineStr">
        <is>
          <t>Score</t>
        </is>
      </c>
      <c r="D4" s="3" t="inlineStr">
        <is>
          <t>Entries</t>
        </is>
      </c>
      <c r="E4" s="3" t="inlineStr">
        <is>
          <t>Tokens</t>
        </is>
      </c>
      <c r="F4" s="3" t="inlineStr">
        <is>
          <t>Ref %</t>
        </is>
      </c>
      <c r="G4" s="3" t="inlineStr">
        <is>
          <t>GRAM %</t>
        </is>
      </c>
      <c r="H4" s="3" t="inlineStr">
        <is>
          <t>INGR Ref %</t>
        </is>
      </c>
      <c r="I4" s="3" t="inlineStr">
        <is>
          <t>XRef %</t>
        </is>
      </c>
      <c r="J4" s="3" t="inlineStr">
        <is>
          <t>Types</t>
        </is>
      </c>
    </row>
    <row r="5">
      <c r="A5" s="4" t="inlineStr">
        <is>
          <t>Aurea Alexandrina</t>
        </is>
      </c>
      <c r="B5" s="5" t="inlineStr">
        <is>
          <t>A</t>
        </is>
      </c>
      <c r="C5" s="6" t="n">
        <v>93.7</v>
      </c>
      <c r="D5" s="7" t="n">
        <v>1</v>
      </c>
      <c r="E5" s="7" t="n">
        <v>105</v>
      </c>
      <c r="F5" s="8" t="n">
        <v>0.8</v>
      </c>
      <c r="G5" s="8" t="n">
        <v>0.029</v>
      </c>
      <c r="H5" s="8" t="n">
        <v>0.885</v>
      </c>
      <c r="I5" s="8" t="n">
        <v>1</v>
      </c>
      <c r="J5" s="9" t="n">
        <v>9</v>
      </c>
    </row>
    <row r="6">
      <c r="A6" s="4" t="inlineStr">
        <is>
          <t>Circa Instans</t>
        </is>
      </c>
      <c r="B6" s="5" t="inlineStr">
        <is>
          <t>A</t>
        </is>
      </c>
      <c r="C6" s="6" t="n">
        <v>87</v>
      </c>
      <c r="D6" s="7" t="n">
        <v>141</v>
      </c>
      <c r="E6" s="7" t="n">
        <v>862</v>
      </c>
      <c r="F6" s="8" t="n">
        <v>0.477</v>
      </c>
      <c r="G6" s="8" t="n">
        <v>0.15</v>
      </c>
      <c r="H6" s="8" t="n">
        <v>1</v>
      </c>
      <c r="I6" s="8" t="n">
        <v>1</v>
      </c>
      <c r="J6" s="9" t="n">
        <v>4</v>
      </c>
    </row>
    <row r="7">
      <c r="A7" s="4" t="inlineStr">
        <is>
          <t>Antidotarium Nicolai</t>
        </is>
      </c>
      <c r="B7" s="10" t="inlineStr">
        <is>
          <t>B</t>
        </is>
      </c>
      <c r="C7" s="6" t="n">
        <v>73.5</v>
      </c>
      <c r="D7" s="7" t="n">
        <v>150</v>
      </c>
      <c r="E7" s="7" t="n">
        <v>16192</v>
      </c>
      <c r="F7" s="8" t="n">
        <v>0.335</v>
      </c>
      <c r="G7" s="8" t="n">
        <v>0.376</v>
      </c>
      <c r="H7" s="8" t="n">
        <v>0.7559999999999999</v>
      </c>
      <c r="I7" s="8" t="n">
        <v>1</v>
      </c>
      <c r="J7" s="9" t="n">
        <v>15</v>
      </c>
    </row>
    <row r="8">
      <c r="A8" s="4" t="inlineStr">
        <is>
          <t>Regimen Sanitatis</t>
        </is>
      </c>
      <c r="B8" s="11" t="inlineStr">
        <is>
          <t>C</t>
        </is>
      </c>
      <c r="C8" s="6" t="n">
        <v>62.5</v>
      </c>
      <c r="D8" s="7" t="n">
        <v>106</v>
      </c>
      <c r="E8" s="7" t="n">
        <v>2512</v>
      </c>
      <c r="F8" s="8" t="n">
        <v>0.221</v>
      </c>
      <c r="G8" s="8" t="n">
        <v>0.64</v>
      </c>
      <c r="H8" s="8" t="n">
        <v>1</v>
      </c>
      <c r="I8" s="8" t="n">
        <v>1</v>
      </c>
      <c r="J8" s="9" t="n">
        <v>12</v>
      </c>
    </row>
    <row r="9">
      <c r="A9" s="4" t="inlineStr">
        <is>
          <t>De Balneis (bains medicinaux)</t>
        </is>
      </c>
      <c r="B9" s="11" t="inlineStr">
        <is>
          <t>C</t>
        </is>
      </c>
      <c r="C9" s="6" t="n">
        <v>58.6</v>
      </c>
      <c r="D9" s="7" t="n">
        <v>98</v>
      </c>
      <c r="E9" s="7" t="n">
        <v>19769</v>
      </c>
      <c r="F9" s="8" t="n">
        <v>0.159</v>
      </c>
      <c r="G9" s="8" t="n">
        <v>0.6459999999999999</v>
      </c>
      <c r="H9" s="8" t="n">
        <v>1</v>
      </c>
      <c r="I9" s="8" t="n">
        <v>1</v>
      </c>
      <c r="J9" s="9" t="n">
        <v>12</v>
      </c>
    </row>
    <row r="10">
      <c r="A10" s="4" t="inlineStr">
        <is>
          <t>Macer Floridus</t>
        </is>
      </c>
      <c r="B10" s="11" t="inlineStr">
        <is>
          <t>C</t>
        </is>
      </c>
      <c r="C10" s="6" t="n">
        <v>55.6</v>
      </c>
      <c r="D10" s="7" t="n">
        <v>25</v>
      </c>
      <c r="E10" s="7" t="n">
        <v>24148</v>
      </c>
      <c r="F10" s="8" t="n">
        <v>0.153</v>
      </c>
      <c r="G10" s="8" t="n">
        <v>0.753</v>
      </c>
      <c r="H10" s="8" t="n">
        <v>1</v>
      </c>
      <c r="I10" s="8" t="n">
        <v>1</v>
      </c>
      <c r="J10" s="9" t="n">
        <v>13</v>
      </c>
    </row>
    <row r="11">
      <c r="A11" s="4" t="inlineStr">
        <is>
          <t>Inventaires DALME</t>
        </is>
      </c>
      <c r="B11" s="11" t="inlineStr">
        <is>
          <t>C</t>
        </is>
      </c>
      <c r="C11" s="6" t="n">
        <v>55.3</v>
      </c>
      <c r="D11" s="7" t="n">
        <v>2480</v>
      </c>
      <c r="E11" s="7" t="n">
        <v>6367</v>
      </c>
      <c r="F11" s="8" t="n">
        <v>0.16</v>
      </c>
      <c r="G11" s="8" t="n">
        <v>0.752</v>
      </c>
      <c r="H11" s="8" t="n">
        <v>1</v>
      </c>
      <c r="I11" s="8" t="n">
        <v>1</v>
      </c>
      <c r="J11" s="9" t="n">
        <v>12</v>
      </c>
    </row>
    <row r="12">
      <c r="A12" s="4" t="inlineStr">
        <is>
          <t>Collectio Salernitana</t>
        </is>
      </c>
      <c r="B12" s="11" t="inlineStr">
        <is>
          <t>C</t>
        </is>
      </c>
      <c r="C12" s="6" t="n">
        <v>53.3</v>
      </c>
      <c r="D12" s="7" t="n">
        <v>3680</v>
      </c>
      <c r="E12" s="7" t="n">
        <v>274910</v>
      </c>
      <c r="F12" s="8" t="n">
        <v>0.176</v>
      </c>
      <c r="G12" s="8" t="n">
        <v>0.821</v>
      </c>
      <c r="H12" s="8" t="n">
        <v>1</v>
      </c>
      <c r="I12" s="8" t="n">
        <v>1</v>
      </c>
      <c r="J12" s="9" t="n">
        <v>10</v>
      </c>
    </row>
    <row r="13">
      <c r="A13" s="4" t="inlineStr">
        <is>
          <t>Alphita Glossaire</t>
        </is>
      </c>
      <c r="B13" s="11" t="inlineStr">
        <is>
          <t>C</t>
        </is>
      </c>
      <c r="C13" s="6" t="n">
        <v>52.5</v>
      </c>
      <c r="D13" s="7" t="n">
        <v>1714</v>
      </c>
      <c r="E13" s="7" t="n">
        <v>74620</v>
      </c>
      <c r="F13" s="8" t="n">
        <v>0.108</v>
      </c>
      <c r="G13" s="8" t="n">
        <v>0.77</v>
      </c>
      <c r="H13" s="8" t="n">
        <v>1</v>
      </c>
      <c r="I13" s="8" t="n">
        <v>1</v>
      </c>
      <c r="J13" s="9" t="n">
        <v>14</v>
      </c>
    </row>
    <row r="14">
      <c r="A14" s="4" t="inlineStr">
        <is>
          <t>Tacuinum Sanitatis</t>
        </is>
      </c>
      <c r="B14" s="11" t="inlineStr">
        <is>
          <t>C</t>
        </is>
      </c>
      <c r="C14" s="6" t="n">
        <v>52.5</v>
      </c>
      <c r="D14" s="7" t="n">
        <v>58</v>
      </c>
      <c r="E14" s="7" t="n">
        <v>18053</v>
      </c>
      <c r="F14" s="8" t="n">
        <v>0.102</v>
      </c>
      <c r="G14" s="8" t="n">
        <v>0.73</v>
      </c>
      <c r="H14" s="8" t="n">
        <v>1</v>
      </c>
      <c r="I14" s="8" t="n">
        <v>1</v>
      </c>
      <c r="J14" s="9" t="n">
        <v>12</v>
      </c>
    </row>
    <row r="15">
      <c r="A15" s="4" t="inlineStr">
        <is>
          <t>Fasciculus Medicinae</t>
        </is>
      </c>
      <c r="B15" s="11" t="inlineStr">
        <is>
          <t>C</t>
        </is>
      </c>
      <c r="C15" s="6" t="n">
        <v>50.3</v>
      </c>
      <c r="D15" s="7" t="n">
        <v>48</v>
      </c>
      <c r="E15" s="7" t="n">
        <v>2426</v>
      </c>
      <c r="F15" s="8" t="n">
        <v>0.101</v>
      </c>
      <c r="G15" s="8" t="n">
        <v>0.8</v>
      </c>
      <c r="H15" s="8" t="n">
        <v>1</v>
      </c>
      <c r="I15" s="8" t="n">
        <v>1</v>
      </c>
      <c r="J15" s="9" t="n">
        <v>12</v>
      </c>
    </row>
    <row r="16">
      <c r="A16" s="12" t="inlineStr">
        <is>
          <t>TOTAL / MOYENNE</t>
        </is>
      </c>
      <c r="B16" s="13" t="n"/>
      <c r="C16" s="14">
        <f>AVERAGE(C5:C15)</f>
        <v/>
      </c>
      <c r="D16" s="15">
        <f>SUM(D5:D15)</f>
        <v/>
      </c>
      <c r="E16" s="15">
        <f>SUM(E5:E15)</f>
        <v/>
      </c>
      <c r="F16" s="16">
        <f>SUMPRODUCT(F5:F15,E5:E15)/SUM(E5:E15)</f>
        <v/>
      </c>
      <c r="G16" s="16">
        <f>SUMPRODUCT(G5:G15,E5:E15)/SUM(E5:E15)</f>
        <v/>
      </c>
      <c r="H16" s="16">
        <f>AVERAGE(H5:H15)</f>
        <v/>
      </c>
      <c r="I16" s="16">
        <f>AVERAGE(I5:I15)</f>
        <v/>
      </c>
      <c r="J16" s="14">
        <f>AVERAGE(J5:J15)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9" customWidth="1" min="3" max="3"/>
    <col width="40" customWidth="1" min="4" max="4"/>
    <col width="25" customWidth="1" min="5" max="5"/>
  </cols>
  <sheetData>
    <row r="1">
      <c r="A1" s="1" t="inlineStr">
        <is>
          <t>REFERENTIELS (R01-R08) - Etat</t>
        </is>
      </c>
    </row>
    <row r="3">
      <c r="A3" s="17" t="inlineStr">
        <is>
          <t>Code</t>
        </is>
      </c>
      <c r="B3" s="17" t="inlineStr">
        <is>
          <t>Fichier</t>
        </is>
      </c>
      <c r="C3" s="17" t="inlineStr">
        <is>
          <t>Entrees</t>
        </is>
      </c>
      <c r="D3" s="17" t="inlineStr">
        <is>
          <t>Description</t>
        </is>
      </c>
      <c r="E3" s="17" t="inlineStr">
        <is>
          <t>Statut</t>
        </is>
      </c>
    </row>
    <row r="4">
      <c r="A4" s="18" t="inlineStr">
        <is>
          <t>R01</t>
        </is>
      </c>
      <c r="B4" s="18" t="inlineStr">
        <is>
          <t>R01_verbs.json</t>
        </is>
      </c>
      <c r="C4" s="19" t="n">
        <v>79</v>
      </c>
      <c r="D4" s="18" t="inlineStr">
        <is>
          <t>Verbes pharmaceutiques (+Phase 6: minuere, significare, incidere)</t>
        </is>
      </c>
      <c r="E4" s="18" t="inlineStr">
        <is>
          <t>OK - Phase 6</t>
        </is>
      </c>
    </row>
    <row r="5">
      <c r="A5" s="18" t="inlineStr">
        <is>
          <t>R02</t>
        </is>
      </c>
      <c r="B5" s="18" t="inlineStr">
        <is>
          <t>R02_ingredients.json</t>
        </is>
      </c>
      <c r="C5" s="19" t="n">
        <v>405</v>
      </c>
      <c r="D5" s="18" t="inlineStr">
        <is>
          <t>Ingredients (+Phase 6: +14 anatomie: collum, vena, sanguis...)</t>
        </is>
      </c>
      <c r="E5" s="18" t="inlineStr">
        <is>
          <t>OK - Phase 6</t>
        </is>
      </c>
    </row>
    <row r="6">
      <c r="A6" s="18" t="inlineStr">
        <is>
          <t>R03</t>
        </is>
      </c>
      <c r="B6" s="18" t="inlineStr">
        <is>
          <t>R03_units.json</t>
        </is>
      </c>
      <c r="C6" s="19" t="n">
        <v>11</v>
      </c>
      <c r="D6" s="18" t="inlineStr">
        <is>
          <t>Unites de mesure</t>
        </is>
      </c>
      <c r="E6" s="18" t="inlineStr">
        <is>
          <t>OK</t>
        </is>
      </c>
    </row>
    <row r="7">
      <c r="A7" s="18" t="inlineStr">
        <is>
          <t>R04</t>
        </is>
      </c>
      <c r="B7" s="18" t="inlineStr">
        <is>
          <t>R04_forms.json</t>
        </is>
      </c>
      <c r="C7" s="19" t="n">
        <v>21</v>
      </c>
      <c r="D7" s="18" t="inlineStr">
        <is>
          <t>Formes galeniques (oleum, clyster, pillula...)</t>
        </is>
      </c>
      <c r="E7" s="18" t="inlineStr">
        <is>
          <t>OK</t>
        </is>
      </c>
    </row>
    <row r="8">
      <c r="A8" s="18" t="inlineStr">
        <is>
          <t>R05</t>
        </is>
      </c>
      <c r="B8" s="18" t="inlineStr">
        <is>
          <t>R05_tools.json</t>
        </is>
      </c>
      <c r="C8" s="19" t="n">
        <v>15</v>
      </c>
      <c r="D8" s="18" t="inlineStr">
        <is>
          <t>Outils (+Phase 6: lanceta)</t>
        </is>
      </c>
      <c r="E8" s="18" t="inlineStr">
        <is>
          <t>OK - Phase 6</t>
        </is>
      </c>
    </row>
    <row r="9">
      <c r="A9" s="18" t="inlineStr">
        <is>
          <t>R06</t>
        </is>
      </c>
      <c r="B9" s="18" t="inlineStr">
        <is>
          <t>R06_qualities.json</t>
        </is>
      </c>
      <c r="C9" s="19" t="n">
        <v>207</v>
      </c>
      <c r="D9" s="18" t="inlineStr">
        <is>
          <t>Qualites + humorales (sanguineus, cholericus, phlegmaticus, melancholicus)</t>
        </is>
      </c>
      <c r="E9" s="18" t="inlineStr">
        <is>
          <t>OK - Phase 6</t>
        </is>
      </c>
    </row>
    <row r="10">
      <c r="A10" s="18" t="inlineStr">
        <is>
          <t>R07</t>
        </is>
      </c>
      <c r="B10" s="18" t="inlineStr">
        <is>
          <t>R07_plant_parts.json</t>
        </is>
      </c>
      <c r="C10" s="19" t="n">
        <v>16</v>
      </c>
      <c r="D10" s="18" t="inlineStr">
        <is>
          <t>Parties de plantes (+cutis)</t>
        </is>
      </c>
      <c r="E10" s="18" t="inlineStr">
        <is>
          <t>OK - Phase 4</t>
        </is>
      </c>
    </row>
    <row r="11">
      <c r="A11" s="18" t="inlineStr">
        <is>
          <t>R08</t>
        </is>
      </c>
      <c r="B11" s="18" t="inlineStr">
        <is>
          <t>R08_indications.json</t>
        </is>
      </c>
      <c r="C11" s="19" t="n">
        <v>92</v>
      </c>
      <c r="D11" s="18" t="inlineStr">
        <is>
          <t>Maladies + indications (+Phase 6: febris, urina, phlebotomia)</t>
        </is>
      </c>
      <c r="E11" s="18" t="inlineStr">
        <is>
          <t>OK - Phase 6</t>
        </is>
      </c>
    </row>
    <row r="12">
      <c r="A12" s="20" t="inlineStr">
        <is>
          <t>TOTAL</t>
        </is>
      </c>
      <c r="C12" s="21">
        <f>SUM(C4:C11)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9" customWidth="1" min="4" max="4"/>
    <col width="9" customWidth="1" min="5" max="5"/>
    <col width="8" customWidth="1" min="6" max="6"/>
    <col width="13" customWidth="1" min="7" max="7"/>
    <col width="45" customWidth="1" min="8" max="8"/>
  </cols>
  <sheetData>
    <row r="1">
      <c r="A1" s="1" t="inlineStr">
        <is>
          <t>PIPELINE SOURCES (S01-S13) - Etat et Priorites</t>
        </is>
      </c>
    </row>
    <row r="3">
      <c r="A3" s="22" t="inlineStr">
        <is>
          <t>Code</t>
        </is>
      </c>
      <c r="B3" s="22" t="inlineStr">
        <is>
          <t>Source</t>
        </is>
      </c>
      <c r="C3" s="22" t="inlineStr">
        <is>
          <t>Statut</t>
        </is>
      </c>
      <c r="D3" s="22" t="inlineStr">
        <is>
          <t>Entrees</t>
        </is>
      </c>
      <c r="E3" s="22" t="inlineStr">
        <is>
          <t>Tokens</t>
        </is>
      </c>
      <c r="F3" s="22" t="inlineStr">
        <is>
          <t>Score</t>
        </is>
      </c>
      <c r="G3" s="22" t="inlineStr">
        <is>
          <t>Priorite</t>
        </is>
      </c>
      <c r="H3" s="22" t="inlineStr">
        <is>
          <t>Action Requise</t>
        </is>
      </c>
    </row>
    <row r="4">
      <c r="A4" s="18" t="inlineStr">
        <is>
          <t>S01</t>
        </is>
      </c>
      <c r="B4" s="18" t="inlineStr">
        <is>
          <t>Antidotarium Nicolai</t>
        </is>
      </c>
      <c r="C4" s="23" t="inlineStr">
        <is>
          <t>FAIT v4</t>
        </is>
      </c>
      <c r="D4" s="19" t="n">
        <v>150</v>
      </c>
      <c r="E4" s="19" t="n">
        <v>16192</v>
      </c>
      <c r="F4" s="24" t="n">
        <v>73.5</v>
      </c>
      <c r="G4" s="25" t="inlineStr">
        <is>
          <t>OK</t>
        </is>
      </c>
      <c r="H4" s="18" t="inlineStr">
        <is>
          <t>Phase 3: 33.5% ref, INGR_ref 75.6%, score B</t>
        </is>
      </c>
    </row>
    <row r="5">
      <c r="A5" s="18" t="inlineStr">
        <is>
          <t>S02</t>
        </is>
      </c>
      <c r="B5" s="18" t="inlineStr">
        <is>
          <t>Circa Instans</t>
        </is>
      </c>
      <c r="C5" s="23" t="inlineStr">
        <is>
          <t>FAIT v1</t>
        </is>
      </c>
      <c r="D5" s="19" t="n">
        <v>141</v>
      </c>
      <c r="E5" s="19" t="n">
        <v>862</v>
      </c>
      <c r="F5" s="24" t="n">
        <v>87</v>
      </c>
      <c r="G5" s="25" t="inlineStr">
        <is>
          <t>OK</t>
        </is>
      </c>
      <c r="H5" s="18" t="inlineStr">
        <is>
          <t>141 simples avec qualites galeniques, score A</t>
        </is>
      </c>
    </row>
    <row r="6">
      <c r="A6" s="18" t="inlineStr">
        <is>
          <t>S03</t>
        </is>
      </c>
      <c r="B6" s="18" t="inlineStr">
        <is>
          <t>Aurea Alexandrina</t>
        </is>
      </c>
      <c r="C6" s="23" t="inlineStr">
        <is>
          <t>FAIT</t>
        </is>
      </c>
      <c r="D6" s="19" t="n">
        <v>1</v>
      </c>
      <c r="E6" s="19" t="n">
        <v>105</v>
      </c>
      <c r="F6" s="24" t="n">
        <v>93.7</v>
      </c>
      <c r="G6" s="25" t="inlineStr">
        <is>
          <t>OK</t>
        </is>
      </c>
      <c r="H6" s="18" t="inlineStr">
        <is>
          <t>Crib premium - maintenir</t>
        </is>
      </c>
    </row>
    <row r="7">
      <c r="A7" s="18" t="inlineStr">
        <is>
          <t>S04</t>
        </is>
      </c>
      <c r="B7" s="18" t="inlineStr">
        <is>
          <t>Grabadin / Liber Servitoris</t>
        </is>
      </c>
      <c r="C7" s="26" t="inlineStr">
        <is>
          <t>A FAIRE</t>
        </is>
      </c>
      <c r="D7" s="19" t="inlineStr">
        <is>
          <t>-</t>
        </is>
      </c>
      <c r="E7" s="19" t="inlineStr">
        <is>
          <t>-</t>
        </is>
      </c>
      <c r="F7" s="24" t="inlineStr">
        <is>
          <t>-</t>
        </is>
      </c>
      <c r="G7" s="18" t="inlineStr">
        <is>
          <t>BASSE</t>
        </is>
      </c>
      <c r="H7" s="18" t="inlineStr">
        <is>
          <t>Source texte introuvable - pas bloquant</t>
        </is>
      </c>
    </row>
    <row r="8">
      <c r="A8" s="18" t="inlineStr">
        <is>
          <t>S05</t>
        </is>
      </c>
      <c r="B8" s="18" t="inlineStr">
        <is>
          <t>Macer Floridus</t>
        </is>
      </c>
      <c r="C8" s="23" t="inlineStr">
        <is>
          <t>FAIT</t>
        </is>
      </c>
      <c r="D8" s="19" t="n">
        <v>25</v>
      </c>
      <c r="E8" s="19" t="n">
        <v>24148</v>
      </c>
      <c r="F8" s="24" t="n">
        <v>55.6</v>
      </c>
      <c r="G8" s="27" t="inlineStr">
        <is>
          <t>ACCEPTABLE</t>
        </is>
      </c>
      <c r="H8" s="18" t="inlineStr">
        <is>
          <t>Phase 3: +1420 tokens reclassifies, GRAM structurel</t>
        </is>
      </c>
    </row>
    <row r="9">
      <c r="A9" s="18" t="inlineStr">
        <is>
          <t>S06</t>
        </is>
      </c>
      <c r="B9" s="18" t="inlineStr">
        <is>
          <t>Regimen Sanitatis</t>
        </is>
      </c>
      <c r="C9" s="23" t="inlineStr">
        <is>
          <t>FAIT</t>
        </is>
      </c>
      <c r="D9" s="19" t="n">
        <v>106</v>
      </c>
      <c r="E9" s="19" t="n">
        <v>2512</v>
      </c>
      <c r="F9" s="24" t="n">
        <v>62.5</v>
      </c>
      <c r="G9" s="27" t="inlineStr">
        <is>
          <t>ACCEPTABLE</t>
        </is>
      </c>
      <c r="H9" s="18" t="inlineStr">
        <is>
          <t>Phase 3: +104 tokens reclassifies</t>
        </is>
      </c>
    </row>
    <row r="10">
      <c r="A10" s="18" t="inlineStr">
        <is>
          <t>S07</t>
        </is>
      </c>
      <c r="B10" s="18" t="inlineStr">
        <is>
          <t>Inventaires DALME</t>
        </is>
      </c>
      <c r="C10" s="23" t="inlineStr">
        <is>
          <t>FAIT</t>
        </is>
      </c>
      <c r="D10" s="19" t="n">
        <v>2480</v>
      </c>
      <c r="E10" s="19" t="n">
        <v>6367</v>
      </c>
      <c r="F10" s="24" t="n">
        <v>55.3</v>
      </c>
      <c r="G10" s="27" t="inlineStr">
        <is>
          <t>ACCEPTABLE</t>
        </is>
      </c>
      <c r="H10" s="18" t="inlineStr">
        <is>
          <t>Phase 3: +184 tokens reclassifies</t>
        </is>
      </c>
    </row>
    <row r="11">
      <c r="A11" s="18" t="inlineStr">
        <is>
          <t>S08</t>
        </is>
      </c>
      <c r="B11" s="18" t="inlineStr">
        <is>
          <t>Canon Medicinae (Avicenna)</t>
        </is>
      </c>
      <c r="C11" s="26" t="inlineStr">
        <is>
          <t>A FAIRE</t>
        </is>
      </c>
      <c r="D11" s="19" t="inlineStr">
        <is>
          <t>-</t>
        </is>
      </c>
      <c r="E11" s="19" t="inlineStr">
        <is>
          <t>-</t>
        </is>
      </c>
      <c r="F11" s="24" t="inlineStr">
        <is>
          <t>-</t>
        </is>
      </c>
      <c r="G11" s="18" t="inlineStr">
        <is>
          <t>BASSE</t>
        </is>
      </c>
      <c r="H11" s="18" t="inlineStr">
        <is>
          <t>OCR garbled - pas bloquant</t>
        </is>
      </c>
    </row>
    <row r="12">
      <c r="A12" s="18" t="inlineStr">
        <is>
          <t>S09</t>
        </is>
      </c>
      <c r="B12" s="18" t="inlineStr">
        <is>
          <t>Collectio Salernitana</t>
        </is>
      </c>
      <c r="C12" s="23" t="inlineStr">
        <is>
          <t>FAIT v1</t>
        </is>
      </c>
      <c r="D12" s="19" t="n">
        <v>3680</v>
      </c>
      <c r="E12" s="19" t="n">
        <v>274910</v>
      </c>
      <c r="F12" s="24" t="n">
        <v>53.3</v>
      </c>
      <c r="G12" s="27" t="inlineStr">
        <is>
          <t>ACCEPTABLE</t>
        </is>
      </c>
      <c r="H12" s="18" t="inlineStr">
        <is>
          <t>Phase 3: +6366 tokens, 47.9K refs, 17.6%</t>
        </is>
      </c>
    </row>
    <row r="13">
      <c r="A13" s="18" t="inlineStr">
        <is>
          <t>S10</t>
        </is>
      </c>
      <c r="B13" s="18" t="inlineStr">
        <is>
          <t>Alphita Glossaire</t>
        </is>
      </c>
      <c r="C13" s="23" t="inlineStr">
        <is>
          <t>FAIT</t>
        </is>
      </c>
      <c r="D13" s="19" t="n">
        <v>1714</v>
      </c>
      <c r="E13" s="19" t="n">
        <v>74620</v>
      </c>
      <c r="F13" s="24" t="n">
        <v>52.5</v>
      </c>
      <c r="G13" s="27" t="inlineStr">
        <is>
          <t>ACCEPTABLE</t>
        </is>
      </c>
      <c r="H13" s="18" t="inlineStr">
        <is>
          <t>Phase 3: +1832 tokens reclassifies</t>
        </is>
      </c>
    </row>
    <row r="14">
      <c r="A14" s="18" t="inlineStr">
        <is>
          <t>S11</t>
        </is>
      </c>
      <c r="B14" s="18" t="inlineStr">
        <is>
          <t>De Balneis (bains medicinaux)</t>
        </is>
      </c>
      <c r="C14" s="23" t="inlineStr">
        <is>
          <t>FAIT v2</t>
        </is>
      </c>
      <c r="D14" s="19" t="n">
        <v>98</v>
      </c>
      <c r="E14" s="19" t="n">
        <v>19769</v>
      </c>
      <c r="F14" s="24" t="n">
        <v>58.6</v>
      </c>
      <c r="G14" s="27" t="inlineStr">
        <is>
          <t>ACCEPTABLE</t>
        </is>
      </c>
      <c r="H14" s="18" t="inlineStr">
        <is>
          <t>Phase 6: 15.9% ref, +132 refs anatomie, couvre VMS Balnea</t>
        </is>
      </c>
    </row>
    <row r="15">
      <c r="A15" s="18" t="inlineStr">
        <is>
          <t>S12</t>
        </is>
      </c>
      <c r="B15" s="18" t="inlineStr">
        <is>
          <t>Tacuinum Sanitatis</t>
        </is>
      </c>
      <c r="C15" s="23" t="inlineStr">
        <is>
          <t>FAIT v3</t>
        </is>
      </c>
      <c r="D15" s="19" t="n">
        <v>58</v>
      </c>
      <c r="E15" s="19" t="n">
        <v>18053</v>
      </c>
      <c r="F15" s="24" t="n">
        <v>52.5</v>
      </c>
      <c r="G15" s="27" t="inlineStr">
        <is>
          <t>ACCEPTABLE</t>
        </is>
      </c>
      <c r="H15" s="18" t="inlineStr">
        <is>
          <t>Phase 6: 10.2% ref, +47 refs anatomie, couvre VMS Astro/Cosmo</t>
        </is>
      </c>
    </row>
    <row r="16">
      <c r="A16" s="18" t="inlineStr">
        <is>
          <t>S13</t>
        </is>
      </c>
      <c r="B16" s="18" t="inlineStr">
        <is>
          <t>Fasciculus Medicinae (1491)</t>
        </is>
      </c>
      <c r="C16" s="23" t="inlineStr">
        <is>
          <t>FAIT v2</t>
        </is>
      </c>
      <c r="D16" s="19" t="n">
        <v>48</v>
      </c>
      <c r="E16" s="19" t="n">
        <v>2426</v>
      </c>
      <c r="F16" s="24" t="n">
        <v>50.3</v>
      </c>
      <c r="G16" s="27" t="inlineStr">
        <is>
          <t>ACCEPTABLE</t>
        </is>
      </c>
      <c r="H16" s="18" t="inlineStr">
        <is>
          <t>Phase 6: melothesia, phlebotomie, regimen mensuel, gothique OCR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PLAN D'ACTIONS - Enrichissement RECIPE_DATASET</t>
        </is>
      </c>
    </row>
    <row r="2">
      <c r="A2" s="28" t="inlineStr">
        <is>
          <t>Principe: qualite &gt; couverture | Perfection impossible et trop couteuse | Focus sur les gains raisonnables</t>
        </is>
      </c>
    </row>
    <row r="4">
      <c r="A4" s="29" t="inlineStr">
        <is>
          <t>#</t>
        </is>
      </c>
      <c r="B4" s="29" t="inlineStr">
        <is>
          <t>Action</t>
        </is>
      </c>
      <c r="C4" s="29" t="inlineStr">
        <is>
          <t>Cible</t>
        </is>
      </c>
      <c r="D4" s="29" t="inlineStr">
        <is>
          <t>Effort</t>
        </is>
      </c>
      <c r="E4" s="29" t="inlineStr">
        <is>
          <t>Impact</t>
        </is>
      </c>
      <c r="F4" s="29" t="inlineStr">
        <is>
          <t>Statut</t>
        </is>
      </c>
    </row>
    <row r="5">
      <c r="A5" s="18" t="n">
        <v>1</v>
      </c>
      <c r="B5" s="18" t="inlineStr">
        <is>
          <t>Enrichissement Phase 3 referentiels (+27 entrees)</t>
        </is>
      </c>
      <c r="C5" s="18" t="inlineStr">
        <is>
          <t>R01-R08: 744-&gt;771</t>
        </is>
      </c>
      <c r="D5" s="18" t="inlineStr">
        <is>
          <t>Moyen</t>
        </is>
      </c>
      <c r="E5" s="18" t="inlineStr">
        <is>
          <t>+10K tokens</t>
        </is>
      </c>
      <c r="F5" s="18" t="inlineStr">
        <is>
          <t>FAIT</t>
        </is>
      </c>
    </row>
    <row r="6">
      <c r="A6" s="18" t="n">
        <v>2</v>
      </c>
      <c r="B6" s="18" t="inlineStr">
        <is>
          <t>S02_CI Circa Instans (141 simples galeniques)</t>
        </is>
      </c>
      <c r="C6" s="18" t="inlineStr">
        <is>
          <t>Nouveau S02, score A</t>
        </is>
      </c>
      <c r="D6" s="18" t="inlineStr">
        <is>
          <t>Moyen</t>
        </is>
      </c>
      <c r="E6" s="18" t="inlineStr">
        <is>
          <t>Critique</t>
        </is>
      </c>
      <c r="F6" s="18" t="inlineStr">
        <is>
          <t>FAIT</t>
        </is>
      </c>
    </row>
    <row r="7">
      <c r="A7" s="18" t="n">
        <v>3</v>
      </c>
      <c r="B7" s="18" t="inlineStr">
        <is>
          <t>S09_COLLECTIO (5 vol De Renzi, 275K tokens)</t>
        </is>
      </c>
      <c r="C7" s="18" t="inlineStr">
        <is>
          <t>Nouveau S09, score C</t>
        </is>
      </c>
      <c r="D7" s="18" t="inlineStr">
        <is>
          <t>Eleve</t>
        </is>
      </c>
      <c r="E7" s="18" t="inlineStr">
        <is>
          <t>Tres haut</t>
        </is>
      </c>
      <c r="F7" s="18" t="inlineStr">
        <is>
          <t>FAIT</t>
        </is>
      </c>
    </row>
    <row r="8">
      <c r="A8" s="18" t="n">
        <v>4</v>
      </c>
      <c r="B8" s="18" t="inlineStr">
        <is>
          <t>Phase 4: S11_BALNEA + S12_TACUINUM + 20 refs</t>
        </is>
      </c>
      <c r="C8" s="18" t="inlineStr">
        <is>
          <t>Couverture VMS 4/5</t>
        </is>
      </c>
      <c r="D8" s="18" t="inlineStr">
        <is>
          <t>Moyen</t>
        </is>
      </c>
      <c r="E8" s="18" t="inlineStr">
        <is>
          <t>Critique VMS</t>
        </is>
      </c>
      <c r="F8" s="18" t="inlineStr">
        <is>
          <t>FAIT</t>
        </is>
      </c>
    </row>
    <row r="9">
      <c r="A9" s="18" t="n">
        <v>5</v>
      </c>
      <c r="B9" s="18" t="inlineStr">
        <is>
          <t>Phase 5: +30 refs (aliments, thermaux, verbes)</t>
        </is>
      </c>
      <c r="C9" s="18" t="inlineStr">
        <is>
          <t>R01-R08: 791-&gt;821</t>
        </is>
      </c>
      <c r="D9" s="18" t="inlineStr">
        <is>
          <t>Moyen</t>
        </is>
      </c>
      <c r="E9" s="18" t="inlineStr">
        <is>
          <t>+644 tokens</t>
        </is>
      </c>
      <c r="F9" s="18" t="inlineStr">
        <is>
          <t>FAIT</t>
        </is>
      </c>
    </row>
    <row r="10">
      <c r="A10" s="18" t="n">
        <v>6</v>
      </c>
      <c r="B10" s="18" t="inlineStr">
        <is>
          <t>Phase 5b: Long-s normalization S12</t>
        </is>
      </c>
      <c r="C10" s="18" t="inlineStr">
        <is>
          <t>S12: D-&gt;C</t>
        </is>
      </c>
      <c r="D10" s="18" t="inlineStr">
        <is>
          <t>Faible</t>
        </is>
      </c>
      <c r="E10" s="18" t="inlineStr">
        <is>
          <t>+1436 func words</t>
        </is>
      </c>
      <c r="F10" s="18" t="inlineStr">
        <is>
          <t>FAIT</t>
        </is>
      </c>
    </row>
    <row r="11">
      <c r="A11" s="18" t="n">
        <v>7</v>
      </c>
      <c r="B11" s="18" t="inlineStr">
        <is>
          <t>Phase 6: S13_FASCICULUS + 28 refs astro-medical</t>
        </is>
      </c>
      <c r="C11" s="18" t="inlineStr">
        <is>
          <t>R01-R08: 821-&gt;846</t>
        </is>
      </c>
      <c r="D11" s="18" t="inlineStr">
        <is>
          <t>Moyen</t>
        </is>
      </c>
      <c r="E11" s="18" t="inlineStr">
        <is>
          <t>+1 source astro</t>
        </is>
      </c>
      <c r="F11" s="18" t="inlineStr">
        <is>
          <t>FAIT</t>
        </is>
      </c>
    </row>
    <row r="12">
      <c r="A12" s="18" t="n">
        <v>8</v>
      </c>
      <c r="B12" s="18" t="inlineStr">
        <is>
          <t>Trouver source Grabadin (S04)</t>
        </is>
      </c>
      <c r="C12" s="18" t="inlineStr">
        <is>
          <t>Nouveau S04</t>
        </is>
      </c>
      <c r="D12" s="18" t="inlineStr">
        <is>
          <t>Variable</t>
        </is>
      </c>
      <c r="E12" s="18" t="inlineStr">
        <is>
          <t>Bas</t>
        </is>
      </c>
      <c r="F12" s="18" t="inlineStr">
        <is>
          <t>NON CRITIQUE</t>
        </is>
      </c>
    </row>
    <row r="13">
      <c r="A13" s="18" t="n">
        <v>9</v>
      </c>
      <c r="B13" s="18" t="inlineStr">
        <is>
          <t>Trouver meilleure source Avicenna (S08)</t>
        </is>
      </c>
      <c r="C13" s="18" t="inlineStr">
        <is>
          <t>Nouveau S08</t>
        </is>
      </c>
      <c r="D13" s="18" t="inlineStr">
        <is>
          <t>Variable</t>
        </is>
      </c>
      <c r="E13" s="18" t="inlineStr">
        <is>
          <t>Bas</t>
        </is>
      </c>
      <c r="F13" s="18" t="inlineStr">
        <is>
          <t>NON CRITIQUE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2026-04-11T13:37:53Z</dcterms:created>
  <dcterms:modified xmlns:dcterms="http://purl.org/dc/terms/" xmlns:xsi="http://www.w3.org/2001/XMLSchema-instance" xsi:type="dcterms:W3CDTF">2026-04-11T13:37:53Z</dcterms:modified>
</cp:coreProperties>
</file>